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<sst xmlns="http://schemas.openxmlformats.org/spreadsheetml/2006/main" count="61" uniqueCount="29">
  <si>
    <t>Performance Summaries: Kryjevski Group Biexciton Fortran Script</t>
  </si>
  <si>
    <t>Job type: Rh.f, for qq=86, Cd37Pb31Se68 Model</t>
  </si>
  <si>
    <t>Mlian node used for test: gpu0057</t>
  </si>
  <si>
    <t>All tests Reported Performed 11/12/2025; except gcc rome test on 10/15/2025</t>
  </si>
  <si>
    <t>Serial Performance</t>
  </si>
  <si>
    <t>System</t>
  </si>
  <si>
    <t>Compiler</t>
  </si>
  <si>
    <t>Compiler Module</t>
  </si>
  <si>
    <t>CPU Model</t>
  </si>
  <si>
    <t>Memory (GB)</t>
  </si>
  <si>
    <t>Walltime (min)</t>
  </si>
  <si>
    <t>Performance Speedup</t>
  </si>
  <si>
    <t>Prime</t>
  </si>
  <si>
    <t>GNU Fortran (gfortran)</t>
  </si>
  <si>
    <t xml:space="preserve">gcc/11.2.0 </t>
  </si>
  <si>
    <t>Rome (AMD)</t>
  </si>
  <si>
    <t>Milan (AMD)</t>
  </si>
  <si>
    <t>Intel (ifx)</t>
  </si>
  <si>
    <t>compiler/2023.0.0</t>
  </si>
  <si>
    <t>Parrallel Performance Tests</t>
  </si>
  <si>
    <t>OMP Threads</t>
  </si>
  <si>
    <t>Observations</t>
  </si>
  <si>
    <t>Some compilers are optimized to perform better on certain hardware architecture.</t>
  </si>
  <si>
    <t xml:space="preserve"> Thoughts on why gfortran previosly performed well on Thunder in Summer 2023: is is possible that the default gcc Fortran compiler set at that time had optimal performance on the Thunder nodes. Jobs ran in September 2025 with gfortran on Thunder Intel nodes had slow performance compared to Milan gfortran node runs. When Thunder is online again, these performance tests should be repeated.</t>
  </si>
  <si>
    <t>Next Planned Steps on Parrallel Project (as of 11/12/2025)</t>
  </si>
  <si>
    <t>Finish OMP tests to see max speedup</t>
  </si>
  <si>
    <t>Test if a higher excitation (i.e., 500) works well with OMP parallel job division</t>
  </si>
  <si>
    <t>If tests succesful, complete parallel code upgrade for Biexciton scripts in general. (If 1.25 speed up holds, 72 hours -&gt; 57.6 hours.)</t>
  </si>
  <si>
    <t>Check if a difference of 10^-13 order of magnitude difference is acceptable. Parrelel OMP job vs. serial job precision differences. Triple-check that M2cab files have repeatable results (possible irreproducibility hazard of OMP calculation runs)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</si>
</sst>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6.0"/>
      <color theme="1"/>
      <name val="Arial"/>
      <scheme val="minor"/>
    </font>
    <font>
      <color theme="1"/>
      <name val="Arial"/>
      <scheme val="minor"/>
    </font>
    <font>
      <b/>
      <sz val="13.0"/>
      <color theme="1"/>
      <name val="Arial"/>
      <scheme val="minor"/>
    </font>
    <font>
      <i/>
      <color theme="1"/>
      <name val="Arial"/>
      <scheme val="minor"/>
    </font>
    <font>
      <b/>
      <color theme="1"/>
      <name val="Arial"/>
      <scheme val="minor"/>
    </font>
  </fonts>
  <fills count="7">
    <fill>
      <patternFill patternType="none"/>
    </fill>
    <fill>
      <patternFill patternType="lightGray"/>
    </fill>
    <fill>
      <patternFill patternType="solid">
        <fgColor rgb="FFA4C2F4"/>
        <bgColor rgb="FFA4C2F4"/>
      </patternFill>
    </fill>
    <fill>
      <patternFill patternType="solid">
        <fgColor rgb="FFD9D9D9"/>
        <bgColor rgb="FFD9D9D9"/>
      </patternFill>
    </fill>
    <fill>
      <patternFill patternType="solid">
        <fgColor rgb="FFFFE599"/>
        <bgColor rgb="FFFFE599"/>
      </patternFill>
    </fill>
    <fill>
      <patternFill patternType="solid">
        <fgColor rgb="FFEAD1DC"/>
        <bgColor rgb="FFEAD1DC"/>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1" fillId="3" fontId="4" numFmtId="0" xfId="0" applyAlignment="1" applyBorder="1" applyFill="1" applyFont="1">
      <alignment readingOrder="0" shrinkToFit="0" wrapText="1"/>
    </xf>
    <xf borderId="2" fillId="3" fontId="4" numFmtId="0" xfId="0" applyAlignment="1" applyBorder="1" applyFont="1">
      <alignment readingOrder="0" shrinkToFit="0" wrapText="1"/>
    </xf>
    <xf borderId="3" fillId="3" fontId="4" numFmtId="0" xfId="0" applyAlignment="1" applyBorder="1" applyFont="1">
      <alignment readingOrder="0" shrinkToFit="0" wrapText="1"/>
    </xf>
    <xf borderId="4" fillId="0" fontId="2" numFmtId="0" xfId="0" applyAlignment="1" applyBorder="1" applyFont="1">
      <alignment readingOrder="0"/>
    </xf>
    <xf borderId="5" fillId="0" fontId="2" numFmtId="2" xfId="0" applyBorder="1" applyFont="1" applyNumberFormat="1"/>
    <xf borderId="6" fillId="0" fontId="2" numFmtId="0" xfId="0" applyAlignment="1" applyBorder="1" applyFont="1">
      <alignment readingOrder="0"/>
    </xf>
    <xf borderId="7" fillId="0" fontId="2" numFmtId="0" xfId="0" applyAlignment="1" applyBorder="1" applyFont="1">
      <alignment readingOrder="0"/>
    </xf>
    <xf borderId="8" fillId="0" fontId="2" numFmtId="2" xfId="0" applyBorder="1" applyFont="1" applyNumberFormat="1"/>
    <xf borderId="0" fillId="4" fontId="3" numFmtId="0" xfId="0" applyAlignment="1" applyFill="1" applyFont="1">
      <alignment readingOrder="0"/>
    </xf>
    <xf borderId="0" fillId="5" fontId="5" numFmtId="0" xfId="0" applyAlignment="1" applyFill="1" applyFont="1">
      <alignment readingOrder="0"/>
    </xf>
    <xf borderId="0" fillId="0" fontId="4" numFmtId="0" xfId="0" applyAlignment="1" applyFont="1">
      <alignment readingOrder="0" shrinkToFit="0" wrapText="1"/>
    </xf>
    <xf borderId="0" fillId="6"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s>
  <sheetData>
    <row r="1">
      <c r="A1" s="1" t="s">
        <v>0</v>
      </c>
    </row>
    <row r="3">
      <c r="A3" s="2" t="s">
        <v>1</v>
      </c>
      <c r="F3" s="2" t="s">
        <v>2</v>
      </c>
    </row>
    <row r="4">
      <c r="A4" s="2" t="s">
        <v>3</v>
      </c>
    </row>
    <row r="6">
      <c r="A6" s="3" t="s">
        <v>4</v>
      </c>
    </row>
    <row r="7" ht="28.5" customHeight="1">
      <c r="A7" s="4" t="s">
        <v>5</v>
      </c>
      <c r="B7" s="5" t="s">
        <v>6</v>
      </c>
      <c r="C7" s="5" t="s">
        <v>7</v>
      </c>
      <c r="D7" s="5" t="s">
        <v>8</v>
      </c>
      <c r="E7" s="5" t="s">
        <v>9</v>
      </c>
      <c r="F7" s="5" t="s">
        <v>10</v>
      </c>
      <c r="G7" s="6" t="s">
        <v>11</v>
      </c>
    </row>
    <row r="8">
      <c r="A8" s="7" t="s">
        <v>12</v>
      </c>
      <c r="B8" s="2" t="s">
        <v>13</v>
      </c>
      <c r="C8" s="2" t="s">
        <v>14</v>
      </c>
      <c r="D8" s="2" t="s">
        <v>15</v>
      </c>
      <c r="E8" s="2">
        <v>10.4</v>
      </c>
      <c r="F8" s="2">
        <v>70.1</v>
      </c>
      <c r="G8" s="8">
        <f t="shared" ref="G8:G11" si="1">$F$8/F8</f>
        <v>1</v>
      </c>
    </row>
    <row r="9">
      <c r="A9" s="7" t="s">
        <v>12</v>
      </c>
      <c r="B9" s="2" t="s">
        <v>13</v>
      </c>
      <c r="C9" s="2" t="s">
        <v>14</v>
      </c>
      <c r="D9" s="2" t="s">
        <v>16</v>
      </c>
      <c r="E9" s="2">
        <v>10.4</v>
      </c>
      <c r="F9" s="2">
        <v>26.11</v>
      </c>
      <c r="G9" s="8">
        <f t="shared" si="1"/>
        <v>2.684795098</v>
      </c>
    </row>
    <row r="10">
      <c r="A10" s="7" t="s">
        <v>12</v>
      </c>
      <c r="B10" s="2" t="s">
        <v>17</v>
      </c>
      <c r="C10" s="2" t="s">
        <v>18</v>
      </c>
      <c r="D10" s="2" t="s">
        <v>15</v>
      </c>
      <c r="E10" s="2">
        <v>5.5</v>
      </c>
      <c r="F10" s="2">
        <v>22.02</v>
      </c>
      <c r="G10" s="8">
        <f t="shared" si="1"/>
        <v>3.183469573</v>
      </c>
    </row>
    <row r="11">
      <c r="A11" s="9" t="s">
        <v>12</v>
      </c>
      <c r="B11" s="10" t="s">
        <v>17</v>
      </c>
      <c r="C11" s="10" t="s">
        <v>18</v>
      </c>
      <c r="D11" s="10" t="s">
        <v>16</v>
      </c>
      <c r="E11" s="10">
        <v>5.5</v>
      </c>
      <c r="F11" s="10">
        <v>13.86</v>
      </c>
      <c r="G11" s="11">
        <f t="shared" si="1"/>
        <v>5.057720058</v>
      </c>
    </row>
    <row r="15">
      <c r="A15" s="12" t="s">
        <v>19</v>
      </c>
    </row>
    <row r="16">
      <c r="A16" s="4" t="s">
        <v>5</v>
      </c>
      <c r="B16" s="5" t="s">
        <v>6</v>
      </c>
      <c r="C16" s="5" t="s">
        <v>7</v>
      </c>
      <c r="D16" s="5" t="s">
        <v>8</v>
      </c>
      <c r="E16" s="5" t="s">
        <v>20</v>
      </c>
      <c r="F16" s="5" t="s">
        <v>9</v>
      </c>
      <c r="G16" s="5" t="s">
        <v>10</v>
      </c>
      <c r="H16" s="6" t="s">
        <v>11</v>
      </c>
    </row>
    <row r="17">
      <c r="A17" s="7" t="s">
        <v>12</v>
      </c>
      <c r="B17" s="2" t="s">
        <v>17</v>
      </c>
      <c r="C17" s="2" t="s">
        <v>18</v>
      </c>
      <c r="D17" s="2" t="s">
        <v>16</v>
      </c>
      <c r="E17" s="2">
        <v>1.0</v>
      </c>
      <c r="F17" s="2">
        <f t="shared" ref="F17:G17" si="2">E11</f>
        <v>5.5</v>
      </c>
      <c r="G17" s="2">
        <f t="shared" si="2"/>
        <v>13.86</v>
      </c>
      <c r="H17" s="8">
        <f t="shared" ref="H17:H20" si="3">$G$17/G17</f>
        <v>1</v>
      </c>
    </row>
    <row r="18">
      <c r="A18" s="7" t="s">
        <v>12</v>
      </c>
      <c r="B18" s="2" t="s">
        <v>17</v>
      </c>
      <c r="C18" s="2" t="s">
        <v>18</v>
      </c>
      <c r="D18" s="2" t="s">
        <v>16</v>
      </c>
      <c r="E18" s="2">
        <v>3.0</v>
      </c>
      <c r="F18" s="2">
        <v>5.5</v>
      </c>
      <c r="G18" s="2">
        <v>14.05</v>
      </c>
      <c r="H18" s="8">
        <f t="shared" si="3"/>
        <v>0.9864768683</v>
      </c>
    </row>
    <row r="19">
      <c r="A19" s="7" t="s">
        <v>12</v>
      </c>
      <c r="B19" s="2" t="s">
        <v>17</v>
      </c>
      <c r="C19" s="2" t="s">
        <v>18</v>
      </c>
      <c r="D19" s="2" t="s">
        <v>16</v>
      </c>
      <c r="E19" s="2">
        <v>4.0</v>
      </c>
      <c r="F19" s="2">
        <v>5.5</v>
      </c>
      <c r="G19" s="2">
        <v>12.1</v>
      </c>
      <c r="H19" s="8">
        <f t="shared" si="3"/>
        <v>1.145454545</v>
      </c>
    </row>
    <row r="20">
      <c r="A20" s="9" t="s">
        <v>12</v>
      </c>
      <c r="B20" s="10" t="s">
        <v>17</v>
      </c>
      <c r="C20" s="10" t="s">
        <v>18</v>
      </c>
      <c r="D20" s="10" t="s">
        <v>16</v>
      </c>
      <c r="E20" s="10">
        <v>5.0</v>
      </c>
      <c r="F20" s="10">
        <v>5.5</v>
      </c>
      <c r="G20" s="10">
        <v>11.1</v>
      </c>
      <c r="H20" s="11">
        <f t="shared" si="3"/>
        <v>1.248648649</v>
      </c>
    </row>
    <row r="23">
      <c r="A23" s="13" t="s">
        <v>21</v>
      </c>
    </row>
    <row r="24">
      <c r="A24" s="2" t="s">
        <v>22</v>
      </c>
      <c r="B24" s="14"/>
      <c r="C24" s="14"/>
      <c r="D24" s="14"/>
      <c r="E24" s="14"/>
      <c r="F24" s="14"/>
      <c r="G24" s="14"/>
      <c r="H24" s="14"/>
    </row>
    <row r="25">
      <c r="A25" s="14" t="s">
        <v>23</v>
      </c>
    </row>
    <row r="26">
      <c r="A26" s="14"/>
      <c r="B26" s="14"/>
      <c r="C26" s="14"/>
      <c r="D26" s="14"/>
      <c r="E26" s="14"/>
      <c r="F26" s="14"/>
      <c r="G26" s="14"/>
      <c r="H26" s="14"/>
    </row>
    <row r="27">
      <c r="A27" s="14"/>
      <c r="B27" s="14"/>
      <c r="C27" s="14"/>
      <c r="D27" s="14"/>
      <c r="E27" s="14"/>
      <c r="F27" s="14"/>
      <c r="G27" s="14"/>
      <c r="H27" s="14"/>
    </row>
    <row r="28">
      <c r="A28" s="14"/>
      <c r="B28" s="14"/>
      <c r="C28" s="14"/>
      <c r="D28" s="14"/>
      <c r="E28" s="14"/>
      <c r="F28" s="14"/>
      <c r="G28" s="14"/>
      <c r="H28" s="14"/>
    </row>
    <row r="30">
      <c r="A30" s="15" t="s">
        <v>24</v>
      </c>
    </row>
    <row r="31">
      <c r="A31" s="2" t="s">
        <v>25</v>
      </c>
    </row>
    <row r="32">
      <c r="A32" s="2" t="s">
        <v>26</v>
      </c>
    </row>
    <row r="33">
      <c r="A33" s="2" t="s">
        <v>27</v>
      </c>
    </row>
    <row r="34">
      <c r="A34" s="2" t="s">
        <v>28</v>
      </c>
    </row>
  </sheetData>
  <mergeCells count="4">
    <mergeCell ref="A6:G6"/>
    <mergeCell ref="A15:G15"/>
    <mergeCell ref="A25:H25"/>
    <mergeCell ref="A30:D30"/>
  </mergeCells>
  <drawing r:id="rId1"/>
</worksheet>
</file>